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83CD9B8D-7F33-44A0-B379-E2B66A4A62D7}" xr6:coauthVersionLast="47" xr6:coauthVersionMax="47" xr10:uidLastSave="{00000000-0000-0000-0000-000000000000}"/>
  <bookViews>
    <workbookView xWindow="-110" yWindow="-110" windowWidth="19420" windowHeight="11020" activeTab="3" xr2:uid="{1E7A2102-239A-4535-B10C-B1AF6056B40A}"/>
  </bookViews>
  <sheets>
    <sheet name="Practice Problems" sheetId="8" r:id="rId1"/>
    <sheet name="Data Entry" sheetId="6" r:id="rId2"/>
    <sheet name="Data Cleaning" sheetId="9" r:id="rId3"/>
    <sheet name="Track" sheetId="1" r:id="rId4"/>
    <sheet name="Shorcut Keys" sheetId="7" r:id="rId5"/>
  </sheets>
  <definedNames>
    <definedName name="_xlnm.Print_Area" localSheetId="3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8" l="1"/>
  <c r="B22" i="8"/>
  <c r="B20" i="8"/>
  <c r="F2" i="8"/>
  <c r="H2" i="8"/>
  <c r="I2" i="8"/>
  <c r="J2" i="8"/>
  <c r="K2" i="8"/>
  <c r="E16" i="8"/>
  <c r="D16" i="8"/>
  <c r="B16" i="8"/>
  <c r="K7" i="8"/>
  <c r="J7" i="8"/>
  <c r="I7" i="8"/>
  <c r="H7" i="8"/>
  <c r="F7" i="8"/>
  <c r="K6" i="8"/>
  <c r="J6" i="8"/>
  <c r="I6" i="8"/>
  <c r="H6" i="8"/>
  <c r="F6" i="8"/>
  <c r="K5" i="8"/>
  <c r="J5" i="8"/>
  <c r="I5" i="8"/>
  <c r="H5" i="8"/>
  <c r="F5" i="8"/>
  <c r="K3" i="8"/>
  <c r="K4" i="8"/>
  <c r="J3" i="8"/>
  <c r="J4" i="8"/>
  <c r="I3" i="8"/>
  <c r="I4" i="8"/>
  <c r="H3" i="8"/>
  <c r="H4" i="8"/>
  <c r="F3" i="8"/>
  <c r="F4" i="8"/>
  <c r="S16" i="6"/>
  <c r="S8" i="6"/>
  <c r="S9" i="6"/>
  <c r="S10" i="6"/>
  <c r="S11" i="6"/>
  <c r="S12" i="6"/>
  <c r="S13" i="6"/>
  <c r="S14" i="6"/>
  <c r="S15" i="6"/>
  <c r="R8" i="6"/>
  <c r="R9" i="6"/>
  <c r="R10" i="6"/>
  <c r="R11" i="6"/>
  <c r="R12" i="6"/>
  <c r="R13" i="6"/>
  <c r="R14" i="6"/>
  <c r="R15" i="6"/>
  <c r="R16" i="6"/>
  <c r="S7" i="6"/>
  <c r="R7" i="6"/>
  <c r="Q8" i="6"/>
  <c r="Q9" i="6"/>
  <c r="Q10" i="6"/>
  <c r="Q11" i="6"/>
  <c r="Q12" i="6"/>
  <c r="Q13" i="6"/>
  <c r="Q14" i="6"/>
  <c r="Q15" i="6"/>
  <c r="Q16" i="6"/>
  <c r="Q7" i="6"/>
  <c r="P8" i="6"/>
  <c r="P9" i="6"/>
  <c r="P10" i="6"/>
  <c r="P11" i="6"/>
  <c r="P12" i="6"/>
  <c r="P13" i="6"/>
  <c r="P14" i="6"/>
  <c r="P15" i="6"/>
  <c r="P16" i="6"/>
  <c r="P7" i="6"/>
  <c r="O8" i="6"/>
  <c r="O9" i="6"/>
  <c r="O10" i="6"/>
  <c r="O11" i="6"/>
  <c r="O12" i="6"/>
  <c r="O13" i="6"/>
  <c r="O14" i="6"/>
  <c r="O15" i="6"/>
  <c r="O16" i="6"/>
  <c r="O7" i="6"/>
</calcChain>
</file>

<file path=xl/sharedStrings.xml><?xml version="1.0" encoding="utf-8"?>
<sst xmlns="http://schemas.openxmlformats.org/spreadsheetml/2006/main" count="279" uniqueCount="212">
  <si>
    <t>Topic</t>
  </si>
  <si>
    <t>Decription</t>
  </si>
  <si>
    <t>16-7-2025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</si>
  <si>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</si>
  <si>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</si>
  <si>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</si>
  <si>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</si>
  <si>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</si>
  <si>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</si>
  <si>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</si>
  <si>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</si>
  <si>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</si>
  <si>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</si>
  <si>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</si>
  <si>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</si>
  <si>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</si>
  <si>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</si>
  <si>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</si>
  <si>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</si>
  <si>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18-7-2025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</si>
  <si>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</si>
  <si>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</si>
  <si>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</si>
  <si>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</si>
  <si>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</si>
  <si>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</si>
  <si>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</si>
  <si>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</si>
  <si>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</si>
  <si>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</si>
  <si>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</si>
  <si>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</si>
  <si>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</si>
  <si>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</si>
  <si>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</si>
  <si>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</si>
  <si>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</si>
  <si>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</si>
  <si>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</si>
  <si>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</si>
  <si>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</si>
  <si>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</si>
  <si>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</si>
  <si>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</si>
  <si>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</si>
  <si>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</si>
  <si>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</si>
  <si>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</si>
  <si>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</si>
  <si>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</si>
  <si>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</si>
  <si>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</si>
  <si>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</si>
  <si>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</si>
  <si>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</si>
  <si>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</si>
  <si>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</si>
  <si>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</si>
  <si>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</si>
  <si>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</si>
  <si>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</si>
  <si>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</si>
  <si>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</si>
  <si>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</si>
  <si>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</si>
  <si>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</si>
  <si>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</si>
  <si>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</si>
  <si>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</si>
  <si>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</si>
  <si>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</si>
  <si>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</si>
  <si>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</si>
  <si>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</si>
  <si>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</si>
  <si>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</si>
  <si>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</si>
  <si>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</si>
  <si>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</si>
  <si>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</si>
  <si>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</si>
  <si>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</si>
  <si>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</si>
  <si>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</si>
  <si>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</si>
  <si>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</si>
  <si>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</si>
  <si>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</si>
  <si>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</si>
  <si>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</si>
  <si>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</si>
  <si>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</si>
  <si>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</si>
  <si>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</si>
  <si>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</si>
  <si>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</si>
  <si>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</si>
  <si>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</si>
  <si>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</si>
  <si>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</si>
  <si>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</si>
  <si>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</si>
  <si>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</si>
  <si>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</si>
  <si>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</si>
  <si>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</si>
  <si>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</si>
  <si>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</si>
  <si>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</si>
  <si>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</si>
  <si>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</si>
  <si>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</si>
  <si>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</si>
  <si>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</si>
  <si>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</si>
  <si>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20-7-2025</t>
  </si>
  <si>
    <t>Data Entry</t>
  </si>
  <si>
    <t xml:space="preserve">Fill handle, Filling Columns , adding Columns , row , Deleting Columns , rows  </t>
  </si>
  <si>
    <t xml:space="preserve">21-7-2025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</si>
  <si>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</si>
  <si>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</si>
  <si>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</si>
  <si>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</si>
  <si>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</si>
  <si>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</si>
  <si>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</si>
  <si>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</si>
  <si>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</si>
  <si>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</si>
  <si>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</si>
  <si>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</si>
  <si>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</si>
  <si>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</si>
  <si>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</si>
  <si>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</si>
  <si>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</si>
  <si>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</si>
  <si>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</si>
  <si>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</si>
  <si>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 xml:space="preserve">22-7-2025 </t>
  </si>
  <si>
    <t>MAX</t>
  </si>
  <si>
    <t>MIN</t>
  </si>
  <si>
    <t>AVG</t>
  </si>
  <si>
    <t>COUNT</t>
  </si>
  <si>
    <t>SUM Formula , adding marks ,paste values, fix refrence , relative refrence,MAX,MIN,AVG,COUNT</t>
  </si>
  <si>
    <t>23-7-2025</t>
  </si>
  <si>
    <t xml:space="preserve">Conditional Formating,Advance Conditional Formating </t>
  </si>
  <si>
    <t>EMP0020</t>
  </si>
  <si>
    <t>Zeeshan</t>
  </si>
  <si>
    <t>0349-1233510</t>
  </si>
  <si>
    <t>23/1/2025</t>
  </si>
  <si>
    <t>ALT+D+0</t>
  </si>
  <si>
    <t>Activate Data Entry Form</t>
  </si>
  <si>
    <t>Name</t>
  </si>
  <si>
    <t>English</t>
  </si>
  <si>
    <t>Math</t>
  </si>
  <si>
    <t>Science</t>
  </si>
  <si>
    <t>Ali</t>
  </si>
  <si>
    <t>Sara</t>
  </si>
  <si>
    <t>Bilal</t>
  </si>
  <si>
    <t>SUM</t>
  </si>
  <si>
    <t xml:space="preserve">Highest: </t>
  </si>
  <si>
    <t>Avg:</t>
  </si>
  <si>
    <t>&gt;80</t>
  </si>
  <si>
    <t>Haroon</t>
  </si>
  <si>
    <t>Shan</t>
  </si>
  <si>
    <t>Suleman</t>
  </si>
  <si>
    <t>TEST DATE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</si>
  <si>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</si>
  <si>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</si>
  <si>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</si>
  <si>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</si>
  <si>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</si>
  <si>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</si>
  <si>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</si>
  <si>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</si>
  <si>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</si>
  <si>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</si>
  <si>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</si>
  <si>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</si>
  <si>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Urdu</t>
  </si>
  <si>
    <t xml:space="preserve">24-7-2025 </t>
  </si>
  <si>
    <t xml:space="preserve">Practice </t>
  </si>
  <si>
    <t>Solving Problems</t>
  </si>
  <si>
    <t xml:space="preserve">Total  </t>
  </si>
  <si>
    <t>Age</t>
  </si>
  <si>
    <t>City</t>
  </si>
  <si>
    <t>Salary</t>
  </si>
  <si>
    <t>Boston</t>
  </si>
  <si>
    <t>Frank</t>
  </si>
  <si>
    <t>Miami</t>
  </si>
  <si>
    <t>Los Angeles</t>
  </si>
  <si>
    <t>Grace</t>
  </si>
  <si>
    <t>Chicago</t>
  </si>
  <si>
    <t>Hannah</t>
  </si>
  <si>
    <t>Jack</t>
  </si>
  <si>
    <t>Houston</t>
  </si>
  <si>
    <t>Eve</t>
  </si>
  <si>
    <t>Ivy</t>
  </si>
  <si>
    <t>Phoenix</t>
  </si>
  <si>
    <t>Bob</t>
  </si>
  <si>
    <t>Seattle</t>
  </si>
  <si>
    <t>Charlie</t>
  </si>
  <si>
    <t>Atlanta</t>
  </si>
  <si>
    <t>New York</t>
  </si>
  <si>
    <t>Alice</t>
  </si>
  <si>
    <t>25-7-2025</t>
  </si>
  <si>
    <t>Data Cleaning</t>
  </si>
  <si>
    <t>26-7-2025</t>
  </si>
  <si>
    <t>ALT+H+V+V</t>
  </si>
  <si>
    <t>Paste Values</t>
  </si>
  <si>
    <t>Removing Duplicates , Deleting Leading and  trailing space  TRIM() SUBSTITIUE(), Capitalize Words  PROPER(), UPPER(), LOWER(), LEN(),Handling Negative values , IF()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</si>
</sst>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/>
    <xf numFmtId="2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7" xfId="0" applyBorder="1"/>
    <xf numFmtId="2" fontId="0" fillId="0" borderId="7" xfId="0" applyNumberFormat="1" applyBorder="1"/>
    <xf numFmtId="0" fontId="0" fillId="0" borderId="11" xfId="0" applyBorder="1"/>
    <xf numFmtId="0" fontId="0" fillId="0" borderId="12" xfId="0" applyBorder="1" applyAlignment="1">
      <alignment vertical="center" wrapText="1"/>
    </xf>
    <xf numFmtId="0" fontId="0" fillId="0" borderId="13" xfId="0" applyBorder="1"/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/>
    <xf numFmtId="2" fontId="0" fillId="0" borderId="15" xfId="0" applyNumberFormat="1" applyBorder="1"/>
    <xf numFmtId="0" fontId="0" fillId="0" borderId="18" xfId="0" applyBorder="1"/>
    <xf numFmtId="0" fontId="1" fillId="0" borderId="1" xfId="0" applyFont="1" applyBorder="1" applyAlignment="1">
      <alignment horizontal="center" vertical="top"/>
    </xf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  <xf numFmtId="0" fontId="1" fillId="0" borderId="0" xfId="0" applyFont="1" applyBorder="1" applyAlignment="1">
      <alignment horizontal="center" vertical="top"/>
    </xf>
  </cellXfs>
  <cellStyles count="2">
    <cellStyle name="Currency" xfId="1" builtinId="4"/>
    <cellStyle name="Normal" xfId="0" builtinId="0"/>
  </cellStyles>
  <dxfs count="16">
    <dxf>
      <fill>
        <patternFill>
          <bgColor rgb="FFDDF24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dotted">
          <color indexed="64"/>
        </left>
        <right style="thick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numFmt numFmtId="2" formatCode="0.0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/>
        <right/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ck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outline="0">
        <bottom style="thick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Table Style 1" pivot="0" count="0" xr9:uid="{F2F35C44-564F-4823-B367-B7896C0D6AD3}"/>
  </tableStyles>
  <colors>
    <mruColors>
      <color rgb="FFDDF2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555376-2007-4736-A2FA-A02677D80CA8}" name="Table5" displayName="Table5" ref="A1:K7" totalsRowShown="0" headerRowDxfId="15" tableBorderDxfId="14">
  <autoFilter ref="A1:K7" xr:uid="{23555376-2007-4736-A2FA-A02677D80CA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DBFED875-5164-47DB-BA0D-B3545E7599AC}" name="Name" dataDxfId="13"/>
    <tableColumn id="2" xr3:uid="{ED7E621D-B0E7-4E0F-AE49-87626254BEDD}" name="English" dataDxfId="12"/>
    <tableColumn id="10" xr3:uid="{914CB95C-B4D4-4666-8731-AE771C9B8054}" name="Urdu" dataDxfId="11"/>
    <tableColumn id="3" xr3:uid="{482F1B75-C013-4781-A7DC-7C06683CBD73}" name="Math" dataDxfId="10"/>
    <tableColumn id="4" xr3:uid="{A2EB3CEA-91E6-4D55-B25B-F7F6AA16E0F3}" name="Science" dataDxfId="9"/>
    <tableColumn id="5" xr3:uid="{AF8D4C8A-4FA8-4CD6-AA02-F79836D18D49}" name="SUM" dataDxfId="8">
      <calculatedColumnFormula>SUM(B2:E2)</calculatedColumnFormula>
    </tableColumn>
    <tableColumn id="11" xr3:uid="{D116192A-F1D0-4240-B555-3C9A2964C5EA}" name="Total  " dataDxfId="7"/>
    <tableColumn id="6" xr3:uid="{7C01B78E-31E9-468C-9645-53B25733C019}" name="MAX" dataDxfId="6">
      <calculatedColumnFormula>MAX(B2:E2)</calculatedColumnFormula>
    </tableColumn>
    <tableColumn id="7" xr3:uid="{3531EF90-C0D8-425F-8DD9-541D509B8B73}" name="MIN" dataDxfId="5">
      <calculatedColumnFormula>MIN(B2:E2)</calculatedColumnFormula>
    </tableColumn>
    <tableColumn id="8" xr3:uid="{C539E7AC-D3A5-4230-9E8A-5F7472DD348E}" name="AVG" dataDxfId="4">
      <calculatedColumnFormula>AVERAGE(B2:E2)</calculatedColumnFormula>
    </tableColumn>
    <tableColumn id="9" xr3:uid="{CE9690EC-BB92-49C8-A5B5-A7E5A3110BE3}" name="COUNT" dataDxfId="3">
      <calculatedColumnFormula>COUNT(B2:E2)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B64D4-A1D5-4271-9163-F4CC547F860B}">
  <dimension ref="A1:O22"/>
  <sheetViews>
    <sheetView workbookViewId="0">
      <selection activeCell="F11" sqref="F11"/>
    </sheetView>
  </sheetViews>
  <sheetFormatPr defaultRowHeight="14.5" x14ac:dyDescent="0.35"/>
  <cols>
    <col min="2" max="3" width="8.90625" customWidth="1"/>
    <col min="5" max="5" width="9.54296875" customWidth="1"/>
    <col min="11" max="11" width="8.81640625" customWidth="1"/>
    <col min="13" max="13" width="11" customWidth="1"/>
  </cols>
  <sheetData>
    <row r="1" spans="1:15" ht="20" customHeight="1" thickBot="1" x14ac:dyDescent="0.4">
      <c r="A1" s="16" t="s">
        <v>153</v>
      </c>
      <c r="B1" s="16" t="s">
        <v>154</v>
      </c>
      <c r="C1" s="16" t="s">
        <v>180</v>
      </c>
      <c r="D1" s="16" t="s">
        <v>155</v>
      </c>
      <c r="E1" s="16" t="s">
        <v>156</v>
      </c>
      <c r="F1" s="16" t="s">
        <v>160</v>
      </c>
      <c r="G1" s="16" t="s">
        <v>184</v>
      </c>
      <c r="H1" s="16" t="s">
        <v>140</v>
      </c>
      <c r="I1" s="16" t="s">
        <v>141</v>
      </c>
      <c r="J1" s="16" t="s">
        <v>142</v>
      </c>
      <c r="K1" s="16" t="s">
        <v>143</v>
      </c>
      <c r="M1" s="16" t="s">
        <v>167</v>
      </c>
    </row>
    <row r="2" spans="1:15" x14ac:dyDescent="0.35">
      <c r="A2" s="23" t="s">
        <v>157</v>
      </c>
      <c r="B2" s="24">
        <v>78</v>
      </c>
      <c r="C2" s="24">
        <v>56</v>
      </c>
      <c r="D2" s="24">
        <v>83</v>
      </c>
      <c r="E2" s="24">
        <v>91</v>
      </c>
      <c r="F2" s="25">
        <f>SUM(B2:E2)</f>
        <v>308</v>
      </c>
      <c r="G2" s="26">
        <v>400</v>
      </c>
      <c r="H2" s="27">
        <f>MAX(B2:E2)</f>
        <v>91</v>
      </c>
      <c r="I2" s="28">
        <f>MIN(B2:E2)</f>
        <v>56</v>
      </c>
      <c r="J2" s="29">
        <f>AVERAGE(B2:E2)</f>
        <v>77</v>
      </c>
      <c r="K2" s="30">
        <f>COUNT(B2:E2)</f>
        <v>4</v>
      </c>
      <c r="M2" s="9">
        <v>45658</v>
      </c>
      <c r="O2" t="s">
        <v>168</v>
      </c>
    </row>
    <row r="3" spans="1:15" x14ac:dyDescent="0.35">
      <c r="A3" s="31" t="s">
        <v>158</v>
      </c>
      <c r="B3" s="17">
        <v>65</v>
      </c>
      <c r="C3" s="17">
        <v>74</v>
      </c>
      <c r="D3" s="17">
        <v>74</v>
      </c>
      <c r="E3" s="17">
        <v>88</v>
      </c>
      <c r="F3" s="20">
        <f t="shared" ref="F3:F7" si="0">SUM(B3:E3)</f>
        <v>301</v>
      </c>
      <c r="G3" s="22">
        <v>400</v>
      </c>
      <c r="H3" s="21">
        <f t="shared" ref="H3:H7" si="1">MAX(B3:E3)</f>
        <v>88</v>
      </c>
      <c r="I3" s="18">
        <f t="shared" ref="I3:I7" si="2">MIN(B3:E3)</f>
        <v>65</v>
      </c>
      <c r="J3" s="19">
        <f t="shared" ref="J3:J7" si="3">AVERAGE(B3:E3)</f>
        <v>75.25</v>
      </c>
      <c r="K3" s="32">
        <f t="shared" ref="K3:K7" si="4">COUNT(B3:E3)</f>
        <v>4</v>
      </c>
      <c r="M3" s="9">
        <v>45658</v>
      </c>
      <c r="O3" t="s">
        <v>169</v>
      </c>
    </row>
    <row r="4" spans="1:15" x14ac:dyDescent="0.35">
      <c r="A4" s="31" t="s">
        <v>159</v>
      </c>
      <c r="B4" s="17">
        <v>90</v>
      </c>
      <c r="C4" s="17">
        <v>93</v>
      </c>
      <c r="D4" s="17">
        <v>80</v>
      </c>
      <c r="E4" s="17">
        <v>85</v>
      </c>
      <c r="F4" s="20">
        <f t="shared" si="0"/>
        <v>348</v>
      </c>
      <c r="G4" s="22">
        <v>400</v>
      </c>
      <c r="H4" s="21">
        <f t="shared" si="1"/>
        <v>93</v>
      </c>
      <c r="I4" s="18">
        <f t="shared" si="2"/>
        <v>80</v>
      </c>
      <c r="J4" s="19">
        <f t="shared" si="3"/>
        <v>87</v>
      </c>
      <c r="K4" s="32">
        <f t="shared" si="4"/>
        <v>4</v>
      </c>
      <c r="M4" s="9">
        <v>45658</v>
      </c>
      <c r="O4" t="s">
        <v>170</v>
      </c>
    </row>
    <row r="5" spans="1:15" x14ac:dyDescent="0.35">
      <c r="A5" s="31" t="s">
        <v>164</v>
      </c>
      <c r="B5" s="17">
        <v>64</v>
      </c>
      <c r="C5" s="17">
        <v>67</v>
      </c>
      <c r="D5" s="17">
        <v>94</v>
      </c>
      <c r="E5" s="17">
        <v>77</v>
      </c>
      <c r="F5" s="20">
        <f t="shared" si="0"/>
        <v>302</v>
      </c>
      <c r="G5" s="22">
        <v>400</v>
      </c>
      <c r="H5" s="21">
        <f t="shared" si="1"/>
        <v>94</v>
      </c>
      <c r="I5" s="18">
        <f t="shared" si="2"/>
        <v>64</v>
      </c>
      <c r="J5" s="19">
        <f t="shared" si="3"/>
        <v>75.5</v>
      </c>
      <c r="K5" s="32">
        <f t="shared" si="4"/>
        <v>4</v>
      </c>
      <c r="M5" s="9">
        <v>45658</v>
      </c>
      <c r="O5" t="s">
        <v>171</v>
      </c>
    </row>
    <row r="6" spans="1:15" ht="15" thickBot="1" x14ac:dyDescent="0.4">
      <c r="A6" s="31" t="s">
        <v>165</v>
      </c>
      <c r="B6" s="17">
        <v>84</v>
      </c>
      <c r="C6" s="17">
        <v>84</v>
      </c>
      <c r="D6" s="17">
        <v>42</v>
      </c>
      <c r="E6" s="17">
        <v>92</v>
      </c>
      <c r="F6" s="20">
        <f t="shared" si="0"/>
        <v>302</v>
      </c>
      <c r="G6" s="22">
        <v>400</v>
      </c>
      <c r="H6" s="21">
        <f t="shared" si="1"/>
        <v>92</v>
      </c>
      <c r="I6" s="18">
        <f t="shared" si="2"/>
        <v>42</v>
      </c>
      <c r="J6" s="19">
        <f t="shared" si="3"/>
        <v>75.5</v>
      </c>
      <c r="K6" s="32">
        <f t="shared" si="4"/>
        <v>4</v>
      </c>
      <c r="M6" s="9">
        <v>45658</v>
      </c>
      <c r="O6" t="s">
        <v>172</v>
      </c>
    </row>
    <row r="7" spans="1:15" ht="15" thickBot="1" x14ac:dyDescent="0.4">
      <c r="A7" s="33" t="s">
        <v>166</v>
      </c>
      <c r="B7" s="34">
        <v>43</v>
      </c>
      <c r="C7" s="34">
        <v>29</v>
      </c>
      <c r="D7" s="34">
        <v>53</v>
      </c>
      <c r="E7" s="34">
        <v>84</v>
      </c>
      <c r="F7" s="35">
        <f t="shared" si="0"/>
        <v>209</v>
      </c>
      <c r="G7" s="26">
        <v>400</v>
      </c>
      <c r="H7" s="36">
        <f t="shared" si="1"/>
        <v>84</v>
      </c>
      <c r="I7" s="37">
        <f t="shared" si="2"/>
        <v>29</v>
      </c>
      <c r="J7" s="38">
        <f t="shared" si="3"/>
        <v>52.25</v>
      </c>
      <c r="K7" s="39">
        <f t="shared" si="4"/>
        <v>4</v>
      </c>
      <c r="M7" s="9">
        <v>45658</v>
      </c>
      <c r="O7" t="s">
        <v>173</v>
      </c>
    </row>
    <row r="8" spans="1:15" x14ac:dyDescent="0.35">
      <c r="O8" t="s">
        <v>174</v>
      </c>
    </row>
    <row r="9" spans="1:15" x14ac:dyDescent="0.35">
      <c r="O9" t="s">
        <v>175</v>
      </c>
    </row>
    <row r="10" spans="1:15" x14ac:dyDescent="0.35">
      <c r="O10" t="s">
        <v>176</v>
      </c>
    </row>
    <row r="11" spans="1:15" x14ac:dyDescent="0.35">
      <c r="O11" t="s">
        <v>177</v>
      </c>
    </row>
    <row r="12" spans="1:15" x14ac:dyDescent="0.35">
      <c r="O12" t="s">
        <v>178</v>
      </c>
    </row>
    <row r="13" spans="1:15" x14ac:dyDescent="0.35">
      <c r="O13" t="s">
        <v>179</v>
      </c>
    </row>
    <row r="15" spans="1:15" x14ac:dyDescent="0.35">
      <c r="B15" t="s">
        <v>163</v>
      </c>
      <c r="D15" t="s">
        <v>161</v>
      </c>
      <c r="E15" t="s">
        <v>162</v>
      </c>
    </row>
    <row r="16" spans="1:15" x14ac:dyDescent="0.35">
      <c r="B16">
        <f>COUNTIF(B2:B7,"&gt;80")</f>
        <v>2</v>
      </c>
      <c r="D16">
        <f>MAX(D2:D7)</f>
        <v>94</v>
      </c>
      <c r="E16">
        <f>AVERAGE(E2:E7)</f>
        <v>86.166666666666671</v>
      </c>
    </row>
    <row r="20" spans="1:2" x14ac:dyDescent="0.35">
      <c r="A20">
        <v>10</v>
      </c>
      <c r="B20">
        <f>$A$20*2</f>
        <v>20</v>
      </c>
    </row>
    <row r="21" spans="1:2" x14ac:dyDescent="0.35">
      <c r="B21">
        <f t="shared" ref="B21:B22" si="5">$A$20*2</f>
        <v>20</v>
      </c>
    </row>
    <row r="22" spans="1:2" x14ac:dyDescent="0.35">
      <c r="B22">
        <f t="shared" si="5"/>
        <v>20</v>
      </c>
    </row>
  </sheetData>
  <phoneticPr fontId="2" type="noConversion"/>
  <conditionalFormatting sqref="B2:E7">
    <cfRule type="cellIs" dxfId="2" priority="3" operator="lessThan">
      <formula>40</formula>
    </cfRule>
    <cfRule type="cellIs" dxfId="1" priority="4" operator="greaterThan">
      <formula>80</formula>
    </cfRule>
  </conditionalFormatting>
  <conditionalFormatting sqref="G2:G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{E2BB0956-AADD-4B25-9D5F-2C77249C6AB1}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2FFCD7-8667-40D9-9A84-136F4C53B2A4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E2:E7</xm:sqref>
        </x14:conditionalFormatting>
        <x14:conditionalFormatting xmlns:xm="http://schemas.microsoft.com/office/excel/2006/main">
          <x14:cfRule type="dataBar" id="{E2BB0956-AADD-4B25-9D5F-2C77249C6A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S23"/>
  <sheetViews>
    <sheetView zoomScale="90" zoomScaleNormal="85" workbookViewId="0">
      <selection activeCell="J11" sqref="J11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4" customWidth="1"/>
    <col min="5" max="5" width="10" customWidth="1"/>
    <col min="6" max="6" width="5.36328125" customWidth="1"/>
    <col min="7" max="7" width="16.36328125" customWidth="1"/>
    <col min="8" max="8" width="14.7265625" style="9" customWidth="1"/>
  </cols>
  <sheetData>
    <row r="1" spans="1:19" ht="17.5" customHeight="1" x14ac:dyDescent="0.35">
      <c r="A1" s="7" t="s">
        <v>58</v>
      </c>
      <c r="B1" s="8" t="s">
        <v>59</v>
      </c>
      <c r="C1" s="8" t="s">
        <v>103</v>
      </c>
      <c r="D1" s="12" t="s">
        <v>26</v>
      </c>
      <c r="E1" s="8" t="s">
        <v>28</v>
      </c>
      <c r="F1" s="8" t="s">
        <v>27</v>
      </c>
      <c r="G1" s="8" t="s">
        <v>29</v>
      </c>
      <c r="H1" s="10" t="s">
        <v>121</v>
      </c>
    </row>
    <row r="2" spans="1:19" x14ac:dyDescent="0.35">
      <c r="A2" s="5" t="s">
        <v>32</v>
      </c>
      <c r="B2" s="6" t="s">
        <v>60</v>
      </c>
      <c r="C2" s="6" t="s">
        <v>105</v>
      </c>
      <c r="D2" s="13">
        <v>38000</v>
      </c>
      <c r="E2" s="6" t="s">
        <v>51</v>
      </c>
      <c r="F2" s="6">
        <v>20</v>
      </c>
      <c r="G2" s="6" t="s">
        <v>82</v>
      </c>
      <c r="H2" s="11">
        <v>45661</v>
      </c>
    </row>
    <row r="3" spans="1:19" x14ac:dyDescent="0.35">
      <c r="A3" s="5" t="s">
        <v>33</v>
      </c>
      <c r="B3" s="6" t="s">
        <v>61</v>
      </c>
      <c r="C3" s="6" t="s">
        <v>105</v>
      </c>
      <c r="D3" s="13">
        <v>36000</v>
      </c>
      <c r="E3" s="6" t="s">
        <v>51</v>
      </c>
      <c r="F3" s="6">
        <v>21</v>
      </c>
      <c r="G3" s="6" t="s">
        <v>83</v>
      </c>
      <c r="H3" s="11">
        <v>45662</v>
      </c>
    </row>
    <row r="4" spans="1:19" x14ac:dyDescent="0.35">
      <c r="A4" s="5" t="s">
        <v>34</v>
      </c>
      <c r="B4" s="6" t="s">
        <v>76</v>
      </c>
      <c r="C4" s="6" t="s">
        <v>104</v>
      </c>
      <c r="D4" s="13">
        <v>34000</v>
      </c>
      <c r="E4" s="6" t="s">
        <v>56</v>
      </c>
      <c r="F4" s="6">
        <v>21</v>
      </c>
      <c r="G4" s="6" t="s">
        <v>84</v>
      </c>
      <c r="H4" s="11">
        <v>45663</v>
      </c>
    </row>
    <row r="5" spans="1:19" x14ac:dyDescent="0.35">
      <c r="A5" s="5" t="s">
        <v>35</v>
      </c>
      <c r="B5" s="6" t="s">
        <v>62</v>
      </c>
      <c r="C5" s="6" t="s">
        <v>105</v>
      </c>
      <c r="D5" s="13">
        <v>32000</v>
      </c>
      <c r="E5" s="6" t="s">
        <v>56</v>
      </c>
      <c r="F5" s="6">
        <v>20</v>
      </c>
      <c r="G5" s="6" t="s">
        <v>85</v>
      </c>
      <c r="H5" s="11">
        <v>45664</v>
      </c>
    </row>
    <row r="6" spans="1:19" x14ac:dyDescent="0.35">
      <c r="A6" s="5" t="s">
        <v>36</v>
      </c>
      <c r="B6" s="6" t="s">
        <v>63</v>
      </c>
      <c r="C6" s="6" t="s">
        <v>105</v>
      </c>
      <c r="D6" s="13">
        <v>30000</v>
      </c>
      <c r="E6" s="6" t="s">
        <v>52</v>
      </c>
      <c r="F6" s="6">
        <v>23</v>
      </c>
      <c r="G6" s="6" t="s">
        <v>86</v>
      </c>
      <c r="H6" s="11">
        <v>45665</v>
      </c>
      <c r="L6" s="15" t="s">
        <v>127</v>
      </c>
      <c r="M6" s="15" t="s">
        <v>128</v>
      </c>
      <c r="N6" s="15" t="s">
        <v>129</v>
      </c>
      <c r="O6" s="15" t="s">
        <v>134</v>
      </c>
      <c r="P6" s="15" t="s">
        <v>140</v>
      </c>
      <c r="Q6" s="15" t="s">
        <v>141</v>
      </c>
      <c r="R6" s="15" t="s">
        <v>142</v>
      </c>
      <c r="S6" s="15" t="s">
        <v>143</v>
      </c>
    </row>
    <row r="7" spans="1:19" x14ac:dyDescent="0.35">
      <c r="A7" s="5" t="s">
        <v>37</v>
      </c>
      <c r="B7" s="6" t="s">
        <v>64</v>
      </c>
      <c r="C7" s="6" t="s">
        <v>104</v>
      </c>
      <c r="D7" s="13">
        <v>28000</v>
      </c>
      <c r="E7" s="6" t="s">
        <v>52</v>
      </c>
      <c r="F7" s="6">
        <v>24</v>
      </c>
      <c r="G7" s="6" t="s">
        <v>87</v>
      </c>
      <c r="H7" s="11">
        <v>45666</v>
      </c>
      <c r="L7">
        <v>85</v>
      </c>
      <c r="M7">
        <v>37</v>
      </c>
      <c r="N7">
        <v>25</v>
      </c>
      <c r="O7">
        <f>SUM(L7:N7)+$L$19</f>
        <v>157</v>
      </c>
      <c r="P7">
        <f>MAX(L7:N7)</f>
        <v>85</v>
      </c>
      <c r="Q7">
        <f>MIN(L7:N7)</f>
        <v>25</v>
      </c>
      <c r="R7">
        <f>AVERAGE(L7:N7)</f>
        <v>49</v>
      </c>
      <c r="S7">
        <f>COUNT(L7:N7)</f>
        <v>3</v>
      </c>
    </row>
    <row r="8" spans="1:19" x14ac:dyDescent="0.35">
      <c r="A8" s="5" t="s">
        <v>38</v>
      </c>
      <c r="B8" s="6" t="s">
        <v>65</v>
      </c>
      <c r="C8" s="6" t="s">
        <v>104</v>
      </c>
      <c r="D8" s="13">
        <v>26000</v>
      </c>
      <c r="E8" s="6" t="s">
        <v>53</v>
      </c>
      <c r="F8" s="6">
        <v>23</v>
      </c>
      <c r="G8" s="6" t="s">
        <v>88</v>
      </c>
      <c r="H8" s="11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  <c r="P8">
        <f t="shared" ref="P8:P16" si="1">MAX(L8:N8)</f>
        <v>48</v>
      </c>
      <c r="Q8">
        <f t="shared" ref="Q8:Q16" si="2">MIN(L8:N8)</f>
        <v>18</v>
      </c>
      <c r="R8">
        <f t="shared" ref="R8:R16" si="3">AVERAGE(L8:N8)</f>
        <v>38</v>
      </c>
      <c r="S8">
        <f t="shared" ref="S8:S15" si="4">COUNT(L8:N8)</f>
        <v>3</v>
      </c>
    </row>
    <row r="9" spans="1:19" x14ac:dyDescent="0.35">
      <c r="A9" s="5" t="s">
        <v>39</v>
      </c>
      <c r="B9" s="6" t="s">
        <v>66</v>
      </c>
      <c r="C9" s="6" t="s">
        <v>105</v>
      </c>
      <c r="D9" s="13">
        <v>24000</v>
      </c>
      <c r="E9" s="6" t="s">
        <v>53</v>
      </c>
      <c r="F9" s="6">
        <v>26</v>
      </c>
      <c r="G9" s="6" t="s">
        <v>89</v>
      </c>
      <c r="H9" s="11">
        <v>45668</v>
      </c>
      <c r="L9">
        <v>39</v>
      </c>
      <c r="M9">
        <v>72</v>
      </c>
      <c r="N9">
        <v>58</v>
      </c>
      <c r="O9">
        <f t="shared" si="0"/>
        <v>179</v>
      </c>
      <c r="P9">
        <f t="shared" si="1"/>
        <v>72</v>
      </c>
      <c r="Q9">
        <f t="shared" si="2"/>
        <v>39</v>
      </c>
      <c r="R9">
        <f t="shared" si="3"/>
        <v>56.333333333333336</v>
      </c>
      <c r="S9">
        <f t="shared" si="4"/>
        <v>3</v>
      </c>
    </row>
    <row r="10" spans="1:19" x14ac:dyDescent="0.35">
      <c r="A10" s="5" t="s">
        <v>40</v>
      </c>
      <c r="B10" s="6" t="s">
        <v>67</v>
      </c>
      <c r="C10" s="6" t="s">
        <v>106</v>
      </c>
      <c r="D10" s="13">
        <v>22000</v>
      </c>
      <c r="E10" s="6" t="s">
        <v>54</v>
      </c>
      <c r="F10" s="6">
        <v>28</v>
      </c>
      <c r="G10" s="6" t="s">
        <v>90</v>
      </c>
      <c r="H10" s="11">
        <v>45669</v>
      </c>
      <c r="L10">
        <v>29</v>
      </c>
      <c r="M10">
        <v>40</v>
      </c>
      <c r="N10">
        <v>49</v>
      </c>
      <c r="O10">
        <f t="shared" si="0"/>
        <v>128</v>
      </c>
      <c r="P10">
        <f t="shared" si="1"/>
        <v>49</v>
      </c>
      <c r="Q10">
        <f t="shared" si="2"/>
        <v>29</v>
      </c>
      <c r="R10">
        <f t="shared" si="3"/>
        <v>39.333333333333336</v>
      </c>
      <c r="S10">
        <f t="shared" si="4"/>
        <v>3</v>
      </c>
    </row>
    <row r="11" spans="1:19" x14ac:dyDescent="0.35">
      <c r="A11" s="5" t="s">
        <v>41</v>
      </c>
      <c r="B11" s="6" t="s">
        <v>68</v>
      </c>
      <c r="C11" s="6" t="s">
        <v>106</v>
      </c>
      <c r="D11" s="13">
        <v>20000</v>
      </c>
      <c r="E11" s="6" t="s">
        <v>54</v>
      </c>
      <c r="F11" s="6">
        <v>30</v>
      </c>
      <c r="G11" s="6" t="s">
        <v>91</v>
      </c>
      <c r="H11" s="11">
        <v>45670</v>
      </c>
      <c r="L11">
        <v>74</v>
      </c>
      <c r="M11">
        <v>99</v>
      </c>
      <c r="N11">
        <v>70</v>
      </c>
      <c r="O11">
        <f t="shared" si="0"/>
        <v>253</v>
      </c>
      <c r="P11">
        <f t="shared" si="1"/>
        <v>99</v>
      </c>
      <c r="Q11">
        <f t="shared" si="2"/>
        <v>70</v>
      </c>
      <c r="R11">
        <f t="shared" si="3"/>
        <v>81</v>
      </c>
      <c r="S11">
        <f t="shared" si="4"/>
        <v>3</v>
      </c>
    </row>
    <row r="12" spans="1:19" x14ac:dyDescent="0.35">
      <c r="A12" s="5" t="s">
        <v>42</v>
      </c>
      <c r="B12" s="6" t="s">
        <v>69</v>
      </c>
      <c r="C12" s="6" t="s">
        <v>107</v>
      </c>
      <c r="D12" s="13">
        <v>18000</v>
      </c>
      <c r="E12" s="6" t="s">
        <v>55</v>
      </c>
      <c r="F12" s="6">
        <v>20</v>
      </c>
      <c r="G12" s="6" t="s">
        <v>92</v>
      </c>
      <c r="H12" s="11">
        <v>45671</v>
      </c>
      <c r="L12">
        <v>32</v>
      </c>
      <c r="M12">
        <v>81</v>
      </c>
      <c r="N12">
        <v>26</v>
      </c>
      <c r="O12">
        <f t="shared" si="0"/>
        <v>149</v>
      </c>
      <c r="P12">
        <f t="shared" si="1"/>
        <v>81</v>
      </c>
      <c r="Q12">
        <f t="shared" si="2"/>
        <v>26</v>
      </c>
      <c r="R12">
        <f t="shared" si="3"/>
        <v>46.333333333333336</v>
      </c>
      <c r="S12">
        <f t="shared" si="4"/>
        <v>3</v>
      </c>
    </row>
    <row r="13" spans="1:19" x14ac:dyDescent="0.35">
      <c r="A13" s="5" t="s">
        <v>43</v>
      </c>
      <c r="B13" s="6" t="s">
        <v>70</v>
      </c>
      <c r="C13" s="6" t="s">
        <v>107</v>
      </c>
      <c r="D13" s="13">
        <v>16000</v>
      </c>
      <c r="E13" s="6" t="s">
        <v>55</v>
      </c>
      <c r="F13" s="6">
        <v>23</v>
      </c>
      <c r="G13" s="6" t="s">
        <v>93</v>
      </c>
      <c r="H13" s="11">
        <v>45672</v>
      </c>
      <c r="L13">
        <v>49</v>
      </c>
      <c r="M13">
        <v>47</v>
      </c>
      <c r="N13">
        <v>94</v>
      </c>
      <c r="O13">
        <f t="shared" si="0"/>
        <v>200</v>
      </c>
      <c r="P13">
        <f t="shared" si="1"/>
        <v>94</v>
      </c>
      <c r="Q13">
        <f t="shared" si="2"/>
        <v>47</v>
      </c>
      <c r="R13">
        <f t="shared" si="3"/>
        <v>63.333333333333336</v>
      </c>
      <c r="S13">
        <f t="shared" si="4"/>
        <v>3</v>
      </c>
    </row>
    <row r="14" spans="1:19" x14ac:dyDescent="0.35">
      <c r="A14" s="5" t="s">
        <v>44</v>
      </c>
      <c r="B14" s="6" t="s">
        <v>71</v>
      </c>
      <c r="C14" s="6" t="s">
        <v>108</v>
      </c>
      <c r="D14" s="13">
        <v>14000</v>
      </c>
      <c r="E14" s="6" t="s">
        <v>79</v>
      </c>
      <c r="F14" s="6">
        <v>21</v>
      </c>
      <c r="G14" s="6" t="s">
        <v>94</v>
      </c>
      <c r="H14" s="11">
        <v>45673</v>
      </c>
      <c r="L14">
        <v>46</v>
      </c>
      <c r="M14">
        <v>29</v>
      </c>
      <c r="N14">
        <v>93</v>
      </c>
      <c r="O14">
        <f t="shared" si="0"/>
        <v>178</v>
      </c>
      <c r="P14">
        <f t="shared" si="1"/>
        <v>93</v>
      </c>
      <c r="Q14">
        <f t="shared" si="2"/>
        <v>29</v>
      </c>
      <c r="R14">
        <f t="shared" si="3"/>
        <v>56</v>
      </c>
      <c r="S14">
        <f t="shared" si="4"/>
        <v>3</v>
      </c>
    </row>
    <row r="15" spans="1:19" x14ac:dyDescent="0.35">
      <c r="A15" s="5" t="s">
        <v>45</v>
      </c>
      <c r="B15" s="6" t="s">
        <v>72</v>
      </c>
      <c r="C15" s="6" t="s">
        <v>108</v>
      </c>
      <c r="D15" s="13">
        <v>12000</v>
      </c>
      <c r="E15" s="6" t="s">
        <v>79</v>
      </c>
      <c r="F15" s="6">
        <v>25</v>
      </c>
      <c r="G15" s="6" t="s">
        <v>95</v>
      </c>
      <c r="H15" s="11">
        <v>45674</v>
      </c>
      <c r="L15">
        <v>94</v>
      </c>
      <c r="M15">
        <v>4</v>
      </c>
      <c r="N15">
        <v>51</v>
      </c>
      <c r="O15">
        <f t="shared" si="0"/>
        <v>159</v>
      </c>
      <c r="P15">
        <f t="shared" si="1"/>
        <v>94</v>
      </c>
      <c r="Q15">
        <f t="shared" si="2"/>
        <v>4</v>
      </c>
      <c r="R15">
        <f t="shared" si="3"/>
        <v>49.666666666666664</v>
      </c>
      <c r="S15">
        <f t="shared" si="4"/>
        <v>3</v>
      </c>
    </row>
    <row r="16" spans="1:19" x14ac:dyDescent="0.35">
      <c r="A16" s="5" t="s">
        <v>46</v>
      </c>
      <c r="B16" s="6" t="s">
        <v>73</v>
      </c>
      <c r="C16" s="6" t="s">
        <v>105</v>
      </c>
      <c r="D16" s="13">
        <v>10000</v>
      </c>
      <c r="E16" s="6" t="s">
        <v>80</v>
      </c>
      <c r="F16" s="6">
        <v>25</v>
      </c>
      <c r="G16" s="6" t="s">
        <v>96</v>
      </c>
      <c r="H16" s="11">
        <v>45675</v>
      </c>
      <c r="L16">
        <v>52</v>
      </c>
      <c r="M16">
        <v>75</v>
      </c>
      <c r="N16">
        <v>31</v>
      </c>
      <c r="O16">
        <f t="shared" si="0"/>
        <v>168</v>
      </c>
      <c r="P16">
        <f t="shared" si="1"/>
        <v>75</v>
      </c>
      <c r="Q16">
        <f t="shared" si="2"/>
        <v>31</v>
      </c>
      <c r="R16">
        <f t="shared" si="3"/>
        <v>52.666666666666664</v>
      </c>
      <c r="S16">
        <f>COUNT(L16:N16)</f>
        <v>3</v>
      </c>
    </row>
    <row r="17" spans="1:12" x14ac:dyDescent="0.35">
      <c r="A17" s="5" t="s">
        <v>47</v>
      </c>
      <c r="B17" s="6" t="s">
        <v>74</v>
      </c>
      <c r="C17" s="6" t="s">
        <v>108</v>
      </c>
      <c r="D17" s="13">
        <v>8000</v>
      </c>
      <c r="E17" s="6" t="s">
        <v>80</v>
      </c>
      <c r="F17" s="6">
        <v>21</v>
      </c>
      <c r="G17" s="6" t="s">
        <v>97</v>
      </c>
      <c r="H17" s="11">
        <v>45676</v>
      </c>
    </row>
    <row r="18" spans="1:12" x14ac:dyDescent="0.35">
      <c r="A18" s="5" t="s">
        <v>48</v>
      </c>
      <c r="B18" s="6" t="s">
        <v>75</v>
      </c>
      <c r="C18" s="6" t="s">
        <v>104</v>
      </c>
      <c r="D18" s="13">
        <v>6000</v>
      </c>
      <c r="E18" s="6" t="s">
        <v>57</v>
      </c>
      <c r="F18" s="6">
        <v>20</v>
      </c>
      <c r="G18" s="6" t="s">
        <v>98</v>
      </c>
      <c r="H18" s="11">
        <v>45677</v>
      </c>
    </row>
    <row r="19" spans="1:12" x14ac:dyDescent="0.35">
      <c r="A19" s="5" t="s">
        <v>49</v>
      </c>
      <c r="B19" s="6" t="s">
        <v>77</v>
      </c>
      <c r="C19" s="6" t="s">
        <v>106</v>
      </c>
      <c r="D19" s="13">
        <v>4000</v>
      </c>
      <c r="E19" s="6" t="s">
        <v>57</v>
      </c>
      <c r="F19" s="6">
        <v>20</v>
      </c>
      <c r="G19" s="6" t="s">
        <v>99</v>
      </c>
      <c r="H19" s="11">
        <v>45678</v>
      </c>
      <c r="L19">
        <v>10</v>
      </c>
    </row>
    <row r="20" spans="1:12" x14ac:dyDescent="0.35">
      <c r="A20" s="5" t="s">
        <v>50</v>
      </c>
      <c r="B20" s="6" t="s">
        <v>78</v>
      </c>
      <c r="C20" s="6" t="s">
        <v>106</v>
      </c>
      <c r="D20" s="13">
        <v>2000</v>
      </c>
      <c r="E20" s="6" t="s">
        <v>81</v>
      </c>
      <c r="F20" s="6">
        <v>20</v>
      </c>
      <c r="G20" s="6" t="s">
        <v>100</v>
      </c>
      <c r="H20" s="11">
        <v>45679</v>
      </c>
    </row>
    <row r="21" spans="1:12" x14ac:dyDescent="0.35">
      <c r="A21" s="5" t="s">
        <v>147</v>
      </c>
      <c r="B21" s="6" t="s">
        <v>148</v>
      </c>
      <c r="C21" s="6" t="s">
        <v>105</v>
      </c>
      <c r="D21" s="13">
        <v>2000</v>
      </c>
      <c r="E21" s="6" t="s">
        <v>80</v>
      </c>
      <c r="F21" s="6">
        <v>28</v>
      </c>
      <c r="G21" s="6" t="s">
        <v>149</v>
      </c>
      <c r="H21" s="11" t="s">
        <v>150</v>
      </c>
    </row>
    <row r="23" spans="1:12" x14ac:dyDescent="0.35">
      <c r="C23" s="4"/>
    </row>
  </sheetData>
  <phoneticPr fontId="2" type="noConversion"/>
  <conditionalFormatting sqref="A2:H22">
    <cfRule type="expression" dxfId="0" priority="10">
      <formula>$C2="IT"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2C3E0-16F0-44E3-9BCD-828BC7817756}">
  <dimension ref="A1:E26"/>
  <sheetViews>
    <sheetView topLeftCell="A11" zoomScale="103" workbookViewId="0">
      <selection activeCell="I12" sqref="I12"/>
    </sheetView>
  </sheetViews>
  <sheetFormatPr defaultRowHeight="14.5" x14ac:dyDescent="0.35"/>
  <cols>
    <col min="3" max="3" width="12.36328125" customWidth="1"/>
  </cols>
  <sheetData>
    <row r="1" spans="1:5" x14ac:dyDescent="0.35">
      <c r="A1" s="40" t="s">
        <v>153</v>
      </c>
      <c r="B1" s="40" t="s">
        <v>185</v>
      </c>
      <c r="C1" s="40" t="s">
        <v>186</v>
      </c>
      <c r="D1" s="40" t="s">
        <v>187</v>
      </c>
      <c r="E1" s="47"/>
    </row>
    <row r="2" spans="1:5" x14ac:dyDescent="0.35">
      <c r="A2" t="s">
        <v>189</v>
      </c>
      <c r="B2">
        <v>0</v>
      </c>
      <c r="C2" t="s">
        <v>204</v>
      </c>
      <c r="D2">
        <v>0</v>
      </c>
    </row>
    <row r="3" spans="1:5" x14ac:dyDescent="0.35">
      <c r="A3" t="s">
        <v>194</v>
      </c>
      <c r="B3">
        <v>0</v>
      </c>
      <c r="C3" t="s">
        <v>191</v>
      </c>
      <c r="D3">
        <v>0</v>
      </c>
    </row>
    <row r="4" spans="1:5" x14ac:dyDescent="0.35">
      <c r="A4" t="s">
        <v>197</v>
      </c>
      <c r="B4">
        <v>46</v>
      </c>
      <c r="C4" t="s">
        <v>193</v>
      </c>
      <c r="D4">
        <v>34721</v>
      </c>
    </row>
    <row r="5" spans="1:5" x14ac:dyDescent="0.35">
      <c r="A5" t="s">
        <v>194</v>
      </c>
      <c r="B5">
        <v>22</v>
      </c>
      <c r="C5" t="s">
        <v>190</v>
      </c>
      <c r="D5">
        <v>0</v>
      </c>
    </row>
    <row r="6" spans="1:5" x14ac:dyDescent="0.35">
      <c r="A6" t="s">
        <v>202</v>
      </c>
      <c r="B6">
        <v>0</v>
      </c>
      <c r="C6" t="s">
        <v>188</v>
      </c>
      <c r="D6">
        <v>86833</v>
      </c>
    </row>
    <row r="7" spans="1:5" x14ac:dyDescent="0.35">
      <c r="A7" t="s">
        <v>194</v>
      </c>
      <c r="B7">
        <v>0</v>
      </c>
      <c r="C7" t="s">
        <v>193</v>
      </c>
      <c r="D7">
        <v>0</v>
      </c>
    </row>
    <row r="8" spans="1:5" x14ac:dyDescent="0.35">
      <c r="A8" t="s">
        <v>195</v>
      </c>
      <c r="B8">
        <v>0</v>
      </c>
      <c r="C8" t="s">
        <v>196</v>
      </c>
      <c r="D8">
        <v>0</v>
      </c>
    </row>
    <row r="9" spans="1:5" x14ac:dyDescent="0.35">
      <c r="A9" t="s">
        <v>197</v>
      </c>
      <c r="B9">
        <v>46</v>
      </c>
      <c r="C9" t="s">
        <v>188</v>
      </c>
      <c r="D9">
        <v>0</v>
      </c>
    </row>
    <row r="10" spans="1:5" x14ac:dyDescent="0.35">
      <c r="A10" t="s">
        <v>205</v>
      </c>
      <c r="B10">
        <v>28</v>
      </c>
      <c r="C10" t="s">
        <v>203</v>
      </c>
      <c r="D10">
        <v>0</v>
      </c>
    </row>
    <row r="11" spans="1:5" x14ac:dyDescent="0.35">
      <c r="A11" t="s">
        <v>197</v>
      </c>
      <c r="B11">
        <v>0</v>
      </c>
      <c r="C11" t="s">
        <v>199</v>
      </c>
      <c r="D11">
        <v>0</v>
      </c>
    </row>
    <row r="12" spans="1:5" x14ac:dyDescent="0.35">
      <c r="A12" t="s">
        <v>200</v>
      </c>
      <c r="B12">
        <v>0</v>
      </c>
      <c r="C12" t="s">
        <v>199</v>
      </c>
      <c r="D12">
        <v>0</v>
      </c>
    </row>
    <row r="13" spans="1:5" x14ac:dyDescent="0.35">
      <c r="A13" t="s">
        <v>197</v>
      </c>
      <c r="B13">
        <v>0</v>
      </c>
      <c r="C13" t="s">
        <v>201</v>
      </c>
      <c r="D13">
        <v>61024</v>
      </c>
    </row>
    <row r="14" spans="1:5" x14ac:dyDescent="0.35">
      <c r="A14" t="s">
        <v>189</v>
      </c>
      <c r="B14">
        <v>0</v>
      </c>
      <c r="C14" t="s">
        <v>191</v>
      </c>
      <c r="D14">
        <v>0</v>
      </c>
    </row>
    <row r="15" spans="1:5" x14ac:dyDescent="0.35">
      <c r="A15" t="s">
        <v>189</v>
      </c>
      <c r="B15">
        <v>32</v>
      </c>
      <c r="C15" t="s">
        <v>193</v>
      </c>
      <c r="D15">
        <v>68810</v>
      </c>
    </row>
    <row r="16" spans="1:5" x14ac:dyDescent="0.35">
      <c r="A16" t="s">
        <v>194</v>
      </c>
      <c r="B16">
        <v>0</v>
      </c>
      <c r="C16" t="s">
        <v>188</v>
      </c>
      <c r="D16">
        <v>52418</v>
      </c>
    </row>
    <row r="17" spans="1:4" x14ac:dyDescent="0.35">
      <c r="A17" t="s">
        <v>202</v>
      </c>
      <c r="B17">
        <v>30</v>
      </c>
      <c r="C17" t="s">
        <v>203</v>
      </c>
      <c r="D17">
        <v>0</v>
      </c>
    </row>
    <row r="18" spans="1:4" x14ac:dyDescent="0.35">
      <c r="A18" t="s">
        <v>192</v>
      </c>
      <c r="B18">
        <v>34</v>
      </c>
      <c r="C18" t="s">
        <v>199</v>
      </c>
      <c r="D18">
        <v>80313</v>
      </c>
    </row>
    <row r="19" spans="1:4" x14ac:dyDescent="0.35">
      <c r="A19" t="s">
        <v>198</v>
      </c>
      <c r="B19">
        <v>0</v>
      </c>
      <c r="C19" t="s">
        <v>193</v>
      </c>
      <c r="D19">
        <v>0</v>
      </c>
    </row>
    <row r="20" spans="1:4" x14ac:dyDescent="0.35">
      <c r="A20" t="s">
        <v>202</v>
      </c>
      <c r="B20">
        <v>27</v>
      </c>
      <c r="C20" t="s">
        <v>204</v>
      </c>
      <c r="D20">
        <v>0</v>
      </c>
    </row>
    <row r="21" spans="1:4" x14ac:dyDescent="0.35">
      <c r="A21" t="s">
        <v>200</v>
      </c>
      <c r="B21">
        <v>0</v>
      </c>
      <c r="C21" t="s">
        <v>190</v>
      </c>
      <c r="D21">
        <v>56244</v>
      </c>
    </row>
    <row r="22" spans="1:4" x14ac:dyDescent="0.35">
      <c r="A22" t="s">
        <v>198</v>
      </c>
      <c r="B22">
        <v>30</v>
      </c>
      <c r="C22" t="s">
        <v>204</v>
      </c>
      <c r="D22">
        <v>0</v>
      </c>
    </row>
    <row r="23" spans="1:4" x14ac:dyDescent="0.35">
      <c r="A23" t="s">
        <v>195</v>
      </c>
      <c r="B23">
        <v>0</v>
      </c>
      <c r="C23" t="s">
        <v>193</v>
      </c>
      <c r="D23">
        <v>33630</v>
      </c>
    </row>
    <row r="24" spans="1:4" x14ac:dyDescent="0.35">
      <c r="A24" t="s">
        <v>194</v>
      </c>
      <c r="B24">
        <v>49</v>
      </c>
      <c r="C24" t="s">
        <v>188</v>
      </c>
      <c r="D24">
        <v>86721</v>
      </c>
    </row>
    <row r="25" spans="1:4" x14ac:dyDescent="0.35">
      <c r="A25" t="s">
        <v>192</v>
      </c>
      <c r="B25">
        <v>0</v>
      </c>
      <c r="C25" t="s">
        <v>199</v>
      </c>
      <c r="D25">
        <v>55941</v>
      </c>
    </row>
    <row r="26" spans="1:4" x14ac:dyDescent="0.35">
      <c r="A26" t="s">
        <v>200</v>
      </c>
      <c r="B26">
        <v>29</v>
      </c>
      <c r="C26" t="s">
        <v>196</v>
      </c>
      <c r="D2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10"/>
  <sheetViews>
    <sheetView tabSelected="1" zoomScale="92" zoomScaleNormal="92" workbookViewId="0">
      <selection activeCell="D15" sqref="D15"/>
    </sheetView>
  </sheetViews>
  <sheetFormatPr defaultRowHeight="14.5" x14ac:dyDescent="0.35"/>
  <cols>
    <col min="1" max="1" width="10.54296875" customWidth="1"/>
    <col min="4" max="4" width="115.81640625" customWidth="1"/>
  </cols>
  <sheetData>
    <row r="1" spans="1:27" x14ac:dyDescent="0.35">
      <c r="A1" s="1" t="s">
        <v>4</v>
      </c>
      <c r="B1" s="42" t="s">
        <v>0</v>
      </c>
      <c r="C1" s="42"/>
      <c r="D1" s="42" t="s">
        <v>1</v>
      </c>
      <c r="E1" s="42"/>
      <c r="F1" s="42"/>
      <c r="G1" s="42"/>
      <c r="H1" s="42"/>
      <c r="I1" s="42"/>
      <c r="J1" s="42"/>
      <c r="K1" s="42"/>
      <c r="L1" s="1"/>
      <c r="M1" s="1"/>
      <c r="N1" s="2"/>
      <c r="O1" s="2"/>
      <c r="P1" s="2"/>
      <c r="Q1" s="2"/>
      <c r="R1" s="2"/>
      <c r="S1" s="2"/>
      <c r="T1" s="42"/>
      <c r="U1" s="42"/>
      <c r="V1" s="42"/>
      <c r="W1" s="42"/>
      <c r="X1" s="42"/>
      <c r="Y1" s="42"/>
      <c r="Z1" s="42"/>
      <c r="AA1" s="42"/>
    </row>
    <row r="2" spans="1:27" x14ac:dyDescent="0.35">
      <c r="A2" t="s">
        <v>2</v>
      </c>
      <c r="B2" s="43" t="s">
        <v>3</v>
      </c>
      <c r="C2" s="43"/>
      <c r="D2" s="41" t="s">
        <v>8</v>
      </c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27" x14ac:dyDescent="0.35">
      <c r="A3" t="s">
        <v>19</v>
      </c>
      <c r="B3" s="41" t="s">
        <v>3</v>
      </c>
      <c r="C3" s="41"/>
      <c r="D3" s="41" t="s">
        <v>20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27" x14ac:dyDescent="0.35">
      <c r="A4" t="s">
        <v>115</v>
      </c>
      <c r="B4" s="41" t="s">
        <v>116</v>
      </c>
      <c r="C4" s="41"/>
      <c r="D4" s="41" t="s">
        <v>117</v>
      </c>
      <c r="E4" s="41"/>
      <c r="F4" s="41"/>
      <c r="G4" s="41"/>
      <c r="H4" s="41"/>
      <c r="I4" s="41"/>
      <c r="J4" s="41"/>
    </row>
    <row r="5" spans="1:27" x14ac:dyDescent="0.35">
      <c r="A5" t="s">
        <v>118</v>
      </c>
      <c r="B5" t="s">
        <v>116</v>
      </c>
      <c r="D5" s="41" t="s">
        <v>126</v>
      </c>
      <c r="E5" s="41"/>
      <c r="F5" s="41"/>
      <c r="G5" s="41"/>
      <c r="H5" s="41"/>
      <c r="I5" s="41"/>
      <c r="J5" s="41"/>
      <c r="K5" s="41"/>
      <c r="L5" s="41"/>
      <c r="M5" s="41"/>
      <c r="N5" s="41"/>
    </row>
    <row r="6" spans="1:27" x14ac:dyDescent="0.35">
      <c r="A6" t="s">
        <v>139</v>
      </c>
      <c r="B6" t="s">
        <v>116</v>
      </c>
      <c r="D6" s="41" t="s">
        <v>144</v>
      </c>
      <c r="E6" s="41"/>
      <c r="F6" s="41"/>
      <c r="G6" s="41"/>
      <c r="H6" s="41"/>
      <c r="I6" s="41"/>
      <c r="J6" s="41"/>
      <c r="K6" s="41"/>
      <c r="L6" s="41"/>
    </row>
    <row r="7" spans="1:27" x14ac:dyDescent="0.35">
      <c r="A7" t="s">
        <v>145</v>
      </c>
      <c r="B7" t="s">
        <v>116</v>
      </c>
      <c r="D7" t="s">
        <v>146</v>
      </c>
    </row>
    <row r="8" spans="1:27" x14ac:dyDescent="0.35">
      <c r="A8" t="s">
        <v>181</v>
      </c>
      <c r="B8" t="s">
        <v>182</v>
      </c>
      <c r="D8" t="s">
        <v>183</v>
      </c>
    </row>
    <row r="9" spans="1:27" x14ac:dyDescent="0.35">
      <c r="A9" t="s">
        <v>206</v>
      </c>
      <c r="B9" t="s">
        <v>207</v>
      </c>
    </row>
    <row r="10" spans="1:27" x14ac:dyDescent="0.35">
      <c r="A10" t="s">
        <v>208</v>
      </c>
      <c r="B10" t="s">
        <v>207</v>
      </c>
      <c r="D10" s="41" t="s">
        <v>211</v>
      </c>
      <c r="E10" s="41"/>
      <c r="F10" s="41"/>
    </row>
  </sheetData>
  <mergeCells count="15">
    <mergeCell ref="D10:F10"/>
    <mergeCell ref="D6:L6"/>
    <mergeCell ref="B4:C4"/>
    <mergeCell ref="D4:J4"/>
    <mergeCell ref="D5:N5"/>
    <mergeCell ref="Z1:AA1"/>
    <mergeCell ref="D2:N2"/>
    <mergeCell ref="V1:W1"/>
    <mergeCell ref="T1:U1"/>
    <mergeCell ref="X1:Y1"/>
    <mergeCell ref="B1:C1"/>
    <mergeCell ref="D1:K1"/>
    <mergeCell ref="B2:C2"/>
    <mergeCell ref="B3:C3"/>
    <mergeCell ref="D3:N3"/>
  </mergeCells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3"/>
  <sheetViews>
    <sheetView topLeftCell="A7" workbookViewId="0">
      <selection activeCell="D17" sqref="D17:G17"/>
    </sheetView>
  </sheetViews>
  <sheetFormatPr defaultRowHeight="14.5" x14ac:dyDescent="0.35"/>
  <cols>
    <col min="3" max="3" width="16.7265625" customWidth="1"/>
    <col min="4" max="4" width="44" customWidth="1"/>
  </cols>
  <sheetData>
    <row r="1" spans="1:8" x14ac:dyDescent="0.35">
      <c r="A1" s="3"/>
      <c r="B1" s="45" t="s">
        <v>21</v>
      </c>
      <c r="C1" s="45"/>
      <c r="D1" s="46" t="s">
        <v>5</v>
      </c>
      <c r="E1" s="46"/>
      <c r="F1" s="3"/>
      <c r="G1" s="3"/>
    </row>
    <row r="2" spans="1:8" x14ac:dyDescent="0.35">
      <c r="B2" s="41" t="s">
        <v>6</v>
      </c>
      <c r="C2" s="41"/>
      <c r="D2" s="41" t="s">
        <v>7</v>
      </c>
      <c r="E2" s="41"/>
    </row>
    <row r="3" spans="1:8" x14ac:dyDescent="0.35">
      <c r="B3" t="s">
        <v>9</v>
      </c>
      <c r="D3" t="s">
        <v>10</v>
      </c>
    </row>
    <row r="4" spans="1:8" x14ac:dyDescent="0.35">
      <c r="B4" t="s">
        <v>11</v>
      </c>
      <c r="D4" t="s">
        <v>12</v>
      </c>
    </row>
    <row r="5" spans="1:8" x14ac:dyDescent="0.35">
      <c r="B5" t="s">
        <v>13</v>
      </c>
      <c r="D5" t="s">
        <v>14</v>
      </c>
    </row>
    <row r="6" spans="1:8" x14ac:dyDescent="0.35">
      <c r="B6" t="s">
        <v>15</v>
      </c>
      <c r="D6" t="s">
        <v>17</v>
      </c>
    </row>
    <row r="7" spans="1:8" x14ac:dyDescent="0.35">
      <c r="B7" t="s">
        <v>16</v>
      </c>
      <c r="D7" t="s">
        <v>18</v>
      </c>
    </row>
    <row r="8" spans="1:8" x14ac:dyDescent="0.35">
      <c r="B8" t="s">
        <v>22</v>
      </c>
      <c r="D8" s="41" t="s">
        <v>24</v>
      </c>
      <c r="E8" s="41"/>
    </row>
    <row r="9" spans="1:8" x14ac:dyDescent="0.35">
      <c r="B9" t="s">
        <v>23</v>
      </c>
      <c r="D9" t="s">
        <v>25</v>
      </c>
    </row>
    <row r="10" spans="1:8" x14ac:dyDescent="0.35">
      <c r="B10" s="41" t="s">
        <v>30</v>
      </c>
      <c r="C10" s="41"/>
      <c r="D10" t="s">
        <v>31</v>
      </c>
    </row>
    <row r="11" spans="1:8" x14ac:dyDescent="0.35">
      <c r="B11" s="41" t="s">
        <v>101</v>
      </c>
      <c r="C11" s="41"/>
      <c r="D11" s="41" t="s">
        <v>102</v>
      </c>
      <c r="E11" s="41"/>
    </row>
    <row r="12" spans="1:8" x14ac:dyDescent="0.35">
      <c r="B12" s="44" t="s">
        <v>109</v>
      </c>
      <c r="C12" s="44"/>
      <c r="D12" s="41" t="s">
        <v>111</v>
      </c>
      <c r="E12" s="41"/>
      <c r="F12" s="41"/>
    </row>
    <row r="13" spans="1:8" x14ac:dyDescent="0.35">
      <c r="B13" s="41" t="s">
        <v>110</v>
      </c>
      <c r="C13" s="41"/>
      <c r="D13" s="41" t="s">
        <v>112</v>
      </c>
      <c r="E13" s="41"/>
    </row>
    <row r="14" spans="1:8" x14ac:dyDescent="0.35">
      <c r="B14" t="s">
        <v>113</v>
      </c>
      <c r="D14" s="41" t="s">
        <v>114</v>
      </c>
      <c r="E14" s="41"/>
      <c r="F14" s="41"/>
    </row>
    <row r="15" spans="1:8" x14ac:dyDescent="0.35">
      <c r="B15" t="s">
        <v>119</v>
      </c>
      <c r="D15" s="41" t="s">
        <v>120</v>
      </c>
      <c r="E15" s="41"/>
      <c r="F15" s="41"/>
    </row>
    <row r="16" spans="1:8" x14ac:dyDescent="0.35">
      <c r="B16" s="41" t="s">
        <v>123</v>
      </c>
      <c r="C16" s="41"/>
      <c r="D16" s="41" t="s">
        <v>122</v>
      </c>
      <c r="E16" s="41"/>
      <c r="F16" s="41"/>
      <c r="G16" s="41"/>
      <c r="H16" s="41"/>
    </row>
    <row r="17" spans="2:7" x14ac:dyDescent="0.35">
      <c r="B17" s="41" t="s">
        <v>125</v>
      </c>
      <c r="C17" s="41"/>
      <c r="D17" s="41" t="s">
        <v>124</v>
      </c>
      <c r="E17" s="41"/>
      <c r="F17" s="41"/>
      <c r="G17" s="41"/>
    </row>
    <row r="18" spans="2:7" x14ac:dyDescent="0.35">
      <c r="B18" t="s">
        <v>130</v>
      </c>
      <c r="D18" s="41" t="s">
        <v>131</v>
      </c>
      <c r="E18" s="41"/>
      <c r="F18" s="41"/>
    </row>
    <row r="19" spans="2:7" x14ac:dyDescent="0.35">
      <c r="B19" t="s">
        <v>132</v>
      </c>
      <c r="D19" t="s">
        <v>133</v>
      </c>
      <c r="F19" s="4"/>
    </row>
    <row r="20" spans="2:7" x14ac:dyDescent="0.35">
      <c r="B20" t="s">
        <v>135</v>
      </c>
      <c r="D20" t="s">
        <v>136</v>
      </c>
    </row>
    <row r="21" spans="2:7" x14ac:dyDescent="0.35">
      <c r="B21" t="s">
        <v>137</v>
      </c>
      <c r="D21" s="41" t="s">
        <v>138</v>
      </c>
      <c r="E21" s="41"/>
    </row>
    <row r="22" spans="2:7" x14ac:dyDescent="0.35">
      <c r="B22" t="s">
        <v>151</v>
      </c>
      <c r="D22" t="s">
        <v>152</v>
      </c>
    </row>
    <row r="23" spans="2:7" x14ac:dyDescent="0.35">
      <c r="B23" t="s">
        <v>209</v>
      </c>
      <c r="D23" t="s">
        <v>210</v>
      </c>
    </row>
  </sheetData>
  <mergeCells count="20">
    <mergeCell ref="D18:F18"/>
    <mergeCell ref="D21:E21"/>
    <mergeCell ref="B13:C13"/>
    <mergeCell ref="D12:F12"/>
    <mergeCell ref="D13:E13"/>
    <mergeCell ref="D14:F14"/>
    <mergeCell ref="D15:F15"/>
    <mergeCell ref="B16:C16"/>
    <mergeCell ref="D16:H16"/>
    <mergeCell ref="D17:G17"/>
    <mergeCell ref="B17:C17"/>
    <mergeCell ref="B10:C10"/>
    <mergeCell ref="B11:C11"/>
    <mergeCell ref="D11:E11"/>
    <mergeCell ref="B12:C12"/>
    <mergeCell ref="B1:C1"/>
    <mergeCell ref="D1:E1"/>
    <mergeCell ref="D8:E8"/>
    <mergeCell ref="B2:C2"/>
    <mergeCell ref="D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Practice Problems</vt:lpstr>
      <vt:lpstr>Data Entry</vt:lpstr>
      <vt:lpstr>Data Cleaning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2025-07-26T10:48:14Z</dcterms:modified>
</cp:coreProperties>
</file>